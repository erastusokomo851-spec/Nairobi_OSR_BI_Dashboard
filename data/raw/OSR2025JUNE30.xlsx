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\Desktop\KU\"/>
    </mc:Choice>
  </mc:AlternateContent>
  <bookViews>
    <workbookView xWindow="0" yWindow="0" windowWidth="23040" windowHeight="9072"/>
  </bookViews>
  <sheets>
    <sheet name="OSR GPW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D20" i="1"/>
  <c r="E20" i="1"/>
  <c r="F20" i="1"/>
  <c r="B20" i="1"/>
  <c r="F15" i="1"/>
  <c r="F16" i="1"/>
  <c r="F17" i="1"/>
  <c r="F18" i="1"/>
  <c r="F19" i="1"/>
  <c r="F14" i="1"/>
  <c r="C13" i="1" l="1"/>
  <c r="D13" i="1"/>
  <c r="E13" i="1"/>
  <c r="B13" i="1"/>
  <c r="F4" i="1"/>
  <c r="F5" i="1"/>
  <c r="F6" i="1"/>
  <c r="F7" i="1"/>
  <c r="F8" i="1"/>
  <c r="F9" i="1"/>
  <c r="F10" i="1"/>
  <c r="F11" i="1"/>
  <c r="F12" i="1"/>
  <c r="F3" i="1"/>
  <c r="F13" i="1" l="1"/>
</calcChain>
</file>

<file path=xl/sharedStrings.xml><?xml version="1.0" encoding="utf-8"?>
<sst xmlns="http://schemas.openxmlformats.org/spreadsheetml/2006/main" count="22" uniqueCount="22">
  <si>
    <t xml:space="preserve">REVENUE COLLECTIONS FY 2024/2025 </t>
  </si>
  <si>
    <t>Revenue Stream</t>
  </si>
  <si>
    <t xml:space="preserve">1st Quarter </t>
  </si>
  <si>
    <t xml:space="preserve">2nd Quarter </t>
  </si>
  <si>
    <t xml:space="preserve">3rd Quarter </t>
  </si>
  <si>
    <t xml:space="preserve">4th Quarter </t>
  </si>
  <si>
    <t>Land Rates</t>
  </si>
  <si>
    <t>Parking fees (total)</t>
  </si>
  <si>
    <t>Unified Business permit</t>
  </si>
  <si>
    <t>Plans and Inspections (Building Permits)</t>
  </si>
  <si>
    <t>Billboards and advertisements</t>
  </si>
  <si>
    <t>House and Stall Rent</t>
  </si>
  <si>
    <t>Fire Inspection Certificates</t>
  </si>
  <si>
    <t>Food Handlers Certificates</t>
  </si>
  <si>
    <t>Markets</t>
  </si>
  <si>
    <t>Other Incomes/Unallocated</t>
  </si>
  <si>
    <t>Liquor Board Revenue</t>
  </si>
  <si>
    <t>Pumwani</t>
  </si>
  <si>
    <t>Mbagathi</t>
  </si>
  <si>
    <t>Mama Lucy</t>
  </si>
  <si>
    <t>Mutuini</t>
  </si>
  <si>
    <t>Nairobi Funeral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</si>
</sst>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6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66" fontId="0" fillId="0" borderId="1" xfId="1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6" fontId="0" fillId="0" borderId="1" xfId="0" applyNumberFormat="1" applyBorder="1" applyAlignment="1">
      <alignment horizontal="right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A13" sqref="A13"/>
    </sheetView>
  </sheetViews>
  <sheetFormatPr defaultRowHeight="14.4" x14ac:dyDescent="0.3"/>
  <cols>
    <col min="1" max="1" width="33.33203125" bestFit="1" customWidth="1"/>
    <col min="2" max="3" width="16.33203125" bestFit="1" customWidth="1"/>
    <col min="4" max="4" width="18.21875" bestFit="1" customWidth="1"/>
    <col min="5" max="5" width="16.33203125" bestFit="1" customWidth="1"/>
    <col min="6" max="7" width="17.44140625" bestFit="1" customWidth="1"/>
    <col min="8" max="8" width="15.21875" bestFit="1" customWidth="1"/>
    <col min="9" max="9" width="16.21875" bestFit="1" customWidth="1"/>
    <col min="11" max="12" width="15" bestFit="1" customWidth="1"/>
    <col min="13" max="13" width="13.77734375" bestFit="1" customWidth="1"/>
    <col min="14" max="14" width="16.88671875" bestFit="1" customWidth="1"/>
  </cols>
  <sheetData>
    <row r="1" spans="1:6" x14ac:dyDescent="0.3">
      <c r="A1" s="1" t="s">
        <v>0</v>
      </c>
    </row>
    <row r="2" spans="1:6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</row>
    <row r="3" spans="1:6" x14ac:dyDescent="0.3">
      <c r="A3" s="2" t="s">
        <v>6</v>
      </c>
      <c r="B3" s="4">
        <v>196074592.41999999</v>
      </c>
      <c r="C3" s="4">
        <v>142363884.10000002</v>
      </c>
      <c r="D3" s="4">
        <v>1974387400.9099998</v>
      </c>
      <c r="E3" s="4">
        <v>974143361.23999989</v>
      </c>
      <c r="F3" s="5">
        <f>SUM(B3:E3)</f>
        <v>3286969238.6699996</v>
      </c>
    </row>
    <row r="4" spans="1:6" x14ac:dyDescent="0.3">
      <c r="A4" s="2" t="s">
        <v>7</v>
      </c>
      <c r="B4" s="4">
        <v>403102547</v>
      </c>
      <c r="C4" s="4">
        <v>415717240</v>
      </c>
      <c r="D4" s="4">
        <v>624117208</v>
      </c>
      <c r="E4" s="4">
        <v>467616505</v>
      </c>
      <c r="F4" s="5">
        <f t="shared" ref="F4:F12" si="0">SUM(B4:E4)</f>
        <v>1910553500</v>
      </c>
    </row>
    <row r="5" spans="1:6" x14ac:dyDescent="0.3">
      <c r="A5" s="2" t="s">
        <v>8</v>
      </c>
      <c r="B5" s="4">
        <v>268881225</v>
      </c>
      <c r="C5" s="4">
        <v>322159358</v>
      </c>
      <c r="D5" s="4">
        <v>1363055364</v>
      </c>
      <c r="E5" s="4">
        <v>644656753</v>
      </c>
      <c r="F5" s="5">
        <f t="shared" si="0"/>
        <v>2598752700</v>
      </c>
    </row>
    <row r="6" spans="1:6" x14ac:dyDescent="0.3">
      <c r="A6" s="2" t="s">
        <v>9</v>
      </c>
      <c r="B6" s="4">
        <v>434454160</v>
      </c>
      <c r="C6" s="4">
        <v>421195656</v>
      </c>
      <c r="D6" s="4">
        <v>316879305</v>
      </c>
      <c r="E6" s="4">
        <v>286453495</v>
      </c>
      <c r="F6" s="5">
        <f t="shared" si="0"/>
        <v>1458982616</v>
      </c>
    </row>
    <row r="7" spans="1:6" x14ac:dyDescent="0.3">
      <c r="A7" s="2" t="s">
        <v>10</v>
      </c>
      <c r="B7" s="4">
        <v>96830108</v>
      </c>
      <c r="C7" s="4">
        <v>188022729</v>
      </c>
      <c r="D7" s="4">
        <v>205184225</v>
      </c>
      <c r="E7" s="4">
        <v>153075885</v>
      </c>
      <c r="F7" s="5">
        <f t="shared" si="0"/>
        <v>643112947</v>
      </c>
    </row>
    <row r="8" spans="1:6" x14ac:dyDescent="0.3">
      <c r="A8" s="2" t="s">
        <v>11</v>
      </c>
      <c r="B8" s="4">
        <v>109158566</v>
      </c>
      <c r="C8" s="4">
        <v>180840370</v>
      </c>
      <c r="D8" s="4">
        <v>147219979</v>
      </c>
      <c r="E8" s="4">
        <v>337569050</v>
      </c>
      <c r="F8" s="5">
        <f t="shared" si="0"/>
        <v>774787965</v>
      </c>
    </row>
    <row r="9" spans="1:6" x14ac:dyDescent="0.3">
      <c r="A9" s="2" t="s">
        <v>12</v>
      </c>
      <c r="B9" s="4">
        <v>761000</v>
      </c>
      <c r="C9" s="4">
        <v>566500</v>
      </c>
      <c r="D9" s="4">
        <v>2754000</v>
      </c>
      <c r="E9" s="4">
        <v>1285000</v>
      </c>
      <c r="F9" s="5">
        <f t="shared" si="0"/>
        <v>5366500</v>
      </c>
    </row>
    <row r="10" spans="1:6" x14ac:dyDescent="0.3">
      <c r="A10" s="2" t="s">
        <v>13</v>
      </c>
      <c r="B10" s="4">
        <v>22673506</v>
      </c>
      <c r="C10" s="4">
        <v>18433500</v>
      </c>
      <c r="D10" s="4">
        <v>30551510</v>
      </c>
      <c r="E10" s="4">
        <v>25270550</v>
      </c>
      <c r="F10" s="5">
        <f t="shared" si="0"/>
        <v>96929066</v>
      </c>
    </row>
    <row r="11" spans="1:6" x14ac:dyDescent="0.3">
      <c r="A11" s="2" t="s">
        <v>14</v>
      </c>
      <c r="B11" s="4">
        <v>44760036</v>
      </c>
      <c r="C11" s="4">
        <v>50097349</v>
      </c>
      <c r="D11" s="4">
        <v>45997986</v>
      </c>
      <c r="E11" s="4">
        <v>50544341</v>
      </c>
      <c r="F11" s="5">
        <f t="shared" si="0"/>
        <v>191399712</v>
      </c>
    </row>
    <row r="12" spans="1:6" x14ac:dyDescent="0.3">
      <c r="A12" s="2" t="s">
        <v>15</v>
      </c>
      <c r="B12" s="4">
        <v>262110272.27999997</v>
      </c>
      <c r="C12" s="4">
        <v>212776330.58000001</v>
      </c>
      <c r="D12" s="4">
        <v>237211004.32000014</v>
      </c>
      <c r="E12" s="4">
        <v>239130607.0200001</v>
      </c>
      <c r="F12" s="5">
        <f t="shared" si="0"/>
        <v>951228214.20000029</v>
      </c>
    </row>
    <row r="13" spans="1:6" x14ac:dyDescent="0.3">
      <c r="A13" s="2"/>
      <c r="B13" s="5">
        <f>SUM(B3:B12)</f>
        <v>1838806012.7</v>
      </c>
      <c r="C13" s="5">
        <f t="shared" ref="C13:E13" si="1">SUM(C3:C12)</f>
        <v>1952172916.6799998</v>
      </c>
      <c r="D13" s="5">
        <f t="shared" si="1"/>
        <v>4947357982.2299995</v>
      </c>
      <c r="E13" s="5">
        <f t="shared" si="1"/>
        <v>3179745547.2599998</v>
      </c>
      <c r="F13" s="5">
        <f>SUM(F3:F12)</f>
        <v>11918082458.870001</v>
      </c>
    </row>
    <row r="14" spans="1:6" x14ac:dyDescent="0.3">
      <c r="A14" s="2" t="s">
        <v>16</v>
      </c>
      <c r="B14" s="6">
        <v>76489325</v>
      </c>
      <c r="C14" s="6">
        <v>73105351</v>
      </c>
      <c r="D14" s="6">
        <v>90546930</v>
      </c>
      <c r="E14" s="6">
        <v>98450355</v>
      </c>
      <c r="F14" s="6">
        <f>SUM(B14:E14)</f>
        <v>338591961</v>
      </c>
    </row>
    <row r="15" spans="1:6" x14ac:dyDescent="0.3">
      <c r="A15" s="2" t="s">
        <v>17</v>
      </c>
      <c r="B15" s="6">
        <v>16489785</v>
      </c>
      <c r="C15" s="6">
        <v>76640479</v>
      </c>
      <c r="D15" s="6">
        <v>91908515</v>
      </c>
      <c r="E15" s="6">
        <v>53040837</v>
      </c>
      <c r="F15" s="6">
        <f t="shared" ref="F15:F19" si="2">SUM(B15:E15)</f>
        <v>238079616</v>
      </c>
    </row>
    <row r="16" spans="1:6" x14ac:dyDescent="0.3">
      <c r="A16" s="2" t="s">
        <v>18</v>
      </c>
      <c r="B16" s="6">
        <v>140644661</v>
      </c>
      <c r="C16" s="6">
        <v>131439322</v>
      </c>
      <c r="D16" s="6">
        <v>84215086.5</v>
      </c>
      <c r="E16" s="6">
        <v>104311777</v>
      </c>
      <c r="F16" s="6">
        <f t="shared" si="2"/>
        <v>460610846.5</v>
      </c>
    </row>
    <row r="17" spans="1:6" x14ac:dyDescent="0.3">
      <c r="A17" s="2" t="s">
        <v>19</v>
      </c>
      <c r="B17" s="6">
        <v>133213418</v>
      </c>
      <c r="C17" s="6">
        <v>169692979</v>
      </c>
      <c r="D17" s="6">
        <v>138099147</v>
      </c>
      <c r="E17" s="6">
        <v>134383277</v>
      </c>
      <c r="F17" s="6">
        <f t="shared" si="2"/>
        <v>575388821</v>
      </c>
    </row>
    <row r="18" spans="1:6" x14ac:dyDescent="0.3">
      <c r="A18" s="2" t="s">
        <v>20</v>
      </c>
      <c r="B18" s="6">
        <v>16598278</v>
      </c>
      <c r="C18" s="6">
        <v>22105802</v>
      </c>
      <c r="D18" s="6">
        <v>18481504</v>
      </c>
      <c r="E18" s="6">
        <v>27436995</v>
      </c>
      <c r="F18" s="6">
        <f t="shared" si="2"/>
        <v>84622579</v>
      </c>
    </row>
    <row r="19" spans="1:6" x14ac:dyDescent="0.3">
      <c r="A19" s="2" t="s">
        <v>21</v>
      </c>
      <c r="B19" s="6">
        <v>6940180</v>
      </c>
      <c r="C19" s="6">
        <v>8831530</v>
      </c>
      <c r="D19" s="6">
        <v>12063637</v>
      </c>
      <c r="E19" s="6">
        <v>11509388</v>
      </c>
      <c r="F19" s="6">
        <f t="shared" si="2"/>
        <v>39344735</v>
      </c>
    </row>
    <row r="20" spans="1:6" x14ac:dyDescent="0.3">
      <c r="A20" s="2"/>
      <c r="B20" s="5">
        <f>SUM(B13:B19)</f>
        <v>2229181659.6999998</v>
      </c>
      <c r="C20" s="5">
        <f t="shared" ref="C20:F20" si="3">SUM(C13:C19)</f>
        <v>2433988379.6799998</v>
      </c>
      <c r="D20" s="5">
        <f t="shared" si="3"/>
        <v>5382672801.7299995</v>
      </c>
      <c r="E20" s="5">
        <f t="shared" si="3"/>
        <v>3608878176.2599998</v>
      </c>
      <c r="F20" s="5">
        <f t="shared" si="3"/>
        <v>13654721017.370001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OSR GPW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</cp:lastModifiedBy>
  <dcterms:created xsi:type="dcterms:W3CDTF">2025-08-12T09:13:53Z</dcterms:created>
  <dcterms:modified xsi:type="dcterms:W3CDTF">2025-08-12T09:30:40Z</dcterms:modified>
</cp:coreProperties>
</file>